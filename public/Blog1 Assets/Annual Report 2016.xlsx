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60" yWindow="890" windowWidth="19420" windowHeight="10570" activeTab="1"/>
  </bookViews>
  <sheets>
    <sheet name="Balance Sheet- TD" sheetId="2" r:id="rId1"/>
    <sheet name="Profit OR Loss" sheetId="1" r:id="rId2"/>
  </sheets>
  <definedNames>
    <definedName name="_xlnm.Print_Titles" localSheetId="0">'Balance Sheet- TD'!$1:$1</definedName>
    <definedName name="_xlnm.Print_Titles" localSheetId="1">'Profit OR Loss'!$1:$1</definedName>
  </definedNames>
  <calcPr calcId="144525"/>
</workbook>
</file>

<file path=xl/calcChain.xml><?xml version="1.0" encoding="utf-8"?>
<calcChain xmlns="http://schemas.openxmlformats.org/spreadsheetml/2006/main">
  <c r="C50" i="2" l="1"/>
  <c r="C41" i="2"/>
  <c r="C37" i="2"/>
  <c r="C43" i="2" s="1"/>
  <c r="C52" i="2" s="1"/>
  <c r="C22" i="2"/>
  <c r="C18" i="2"/>
  <c r="C12" i="2"/>
  <c r="C24" i="2" s="1"/>
  <c r="B39" i="1"/>
  <c r="B37" i="1"/>
  <c r="B17" i="1"/>
  <c r="B15" i="1"/>
  <c r="B5" i="1"/>
</calcChain>
</file>

<file path=xl/sharedStrings.xml><?xml version="1.0" encoding="utf-8"?>
<sst xmlns="http://schemas.openxmlformats.org/spreadsheetml/2006/main" count="103" uniqueCount="69">
  <si>
    <t>Year to
Date</t>
  </si>
  <si>
    <t>Revenues</t>
  </si>
  <si>
    <t>Service Income</t>
  </si>
  <si>
    <t>Total Revenues</t>
  </si>
  <si>
    <t/>
  </si>
  <si>
    <t>Cost of Sales</t>
  </si>
  <si>
    <t>Salaries</t>
  </si>
  <si>
    <t>Mobile Allowance</t>
  </si>
  <si>
    <t>Transoprtation Allowance</t>
  </si>
  <si>
    <t>Commission</t>
  </si>
  <si>
    <t>Pension Fund</t>
  </si>
  <si>
    <t>Total Cost of Sales</t>
  </si>
  <si>
    <t>Gross Profit</t>
  </si>
  <si>
    <t>Expenses</t>
  </si>
  <si>
    <t>Uniform &amp; Safety Materials</t>
  </si>
  <si>
    <t>Stationery &amp; Photocopy Expense</t>
  </si>
  <si>
    <t>Printing and Reproduction Exp</t>
  </si>
  <si>
    <t>Office Supplies &amp; Materials</t>
  </si>
  <si>
    <t>Telephone &amp; Internet Expense</t>
  </si>
  <si>
    <t>Cleaning Exp</t>
  </si>
  <si>
    <t>Rent and Lease Expense</t>
  </si>
  <si>
    <t>Perdiem &amp; Transport Expense</t>
  </si>
  <si>
    <t>Registration &amp; License</t>
  </si>
  <si>
    <t>Meeting Expense</t>
  </si>
  <si>
    <t>Job Posting Expense</t>
  </si>
  <si>
    <t>Marketing &amp; Promotion</t>
  </si>
  <si>
    <t>Bank Charges</t>
  </si>
  <si>
    <t>Non Deductable Expense</t>
  </si>
  <si>
    <t>Penality</t>
  </si>
  <si>
    <t>Depreci. Expe.-Furniture &amp; Equ</t>
  </si>
  <si>
    <t>Total Expenses</t>
  </si>
  <si>
    <t>Net Income</t>
  </si>
  <si>
    <t>ASSETS</t>
  </si>
  <si>
    <t>Current Assets</t>
  </si>
  <si>
    <t>Cash on hand</t>
  </si>
  <si>
    <t>Tele Birr</t>
  </si>
  <si>
    <t>Cash at BOA-176099925 AA</t>
  </si>
  <si>
    <t>Cash at BOA-97620644 AD</t>
  </si>
  <si>
    <t>Receivable from Members</t>
  </si>
  <si>
    <t>Withholding Receivables</t>
  </si>
  <si>
    <t>Total Current Assets</t>
  </si>
  <si>
    <t>Property and Equipment</t>
  </si>
  <si>
    <t>Furniture, Fixture &amp; Equipment</t>
  </si>
  <si>
    <t>Accum. Dep-Furniture &amp; Equ</t>
  </si>
  <si>
    <t>Total Property and Equipment</t>
  </si>
  <si>
    <t>Other Assets</t>
  </si>
  <si>
    <t>Total Other Assets</t>
  </si>
  <si>
    <t>Total Assets</t>
  </si>
  <si>
    <t>LIABILITIES AND CAPITAL</t>
  </si>
  <si>
    <t>Current Liabilities</t>
  </si>
  <si>
    <t>TOT Payable</t>
  </si>
  <si>
    <t>Income Tax Payable</t>
  </si>
  <si>
    <t>Withholdong Tax Payable</t>
  </si>
  <si>
    <t>Salary Payable</t>
  </si>
  <si>
    <t>Pension Payable</t>
  </si>
  <si>
    <t>Total Current Liabilities</t>
  </si>
  <si>
    <t>Long-Term Liabilities</t>
  </si>
  <si>
    <t>Total Long-Term Liabilities</t>
  </si>
  <si>
    <t>Total Liabilities</t>
  </si>
  <si>
    <t>Capital</t>
  </si>
  <si>
    <t>Retained Earning</t>
  </si>
  <si>
    <t>Total Capital</t>
  </si>
  <si>
    <t>Total Liabilities &amp; Capital</t>
  </si>
  <si>
    <t>Both Adama and AA</t>
  </si>
  <si>
    <t>Only AA</t>
  </si>
  <si>
    <t>AA</t>
  </si>
  <si>
    <t>AD</t>
  </si>
  <si>
    <t xml:space="preserve">Capital and Cash withdraw without receipt </t>
  </si>
  <si>
    <t>AD May and June Salary Paid on July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</si>
</sst>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 wrapText="1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165" fontId="0" fillId="0" borderId="1" xfId="0" applyNumberFormat="1" applyBorder="1" applyAlignment="1">
      <alignment horizontal="right"/>
    </xf>
    <xf numFmtId="165" fontId="1" fillId="0" borderId="0" xfId="0" applyNumberFormat="1" applyFont="1" applyAlignment="1">
      <alignment horizontal="right"/>
    </xf>
    <xf numFmtId="165" fontId="0" fillId="0" borderId="2" xfId="0" applyNumberFormat="1" applyBorder="1" applyAlignment="1">
      <alignment horizontal="right"/>
    </xf>
    <xf numFmtId="49" fontId="0" fillId="0" borderId="3" xfId="0" applyNumberFormat="1" applyBorder="1" applyAlignment="1">
      <alignment horizontal="left"/>
    </xf>
    <xf numFmtId="165" fontId="0" fillId="0" borderId="4" xfId="0" applyNumberFormat="1" applyBorder="1" applyAlignment="1">
      <alignment horizontal="right"/>
    </xf>
    <xf numFmtId="49" fontId="0" fillId="0" borderId="1" xfId="0" applyNumberFormat="1" applyBorder="1" applyAlignment="1">
      <alignment horizontal="lef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"/>
  <sheetViews>
    <sheetView workbookViewId="0">
      <pane ySplit="1" topLeftCell="A29" activePane="bottomLeft" state="frozenSplit"/>
      <selection pane="bottomLeft" activeCell="C34" sqref="C34"/>
    </sheetView>
  </sheetViews>
  <sheetFormatPr defaultColWidth="8.90625" defaultRowHeight="13" x14ac:dyDescent="0.3"/>
  <cols>
    <col min="1" max="1" width="34.81640625" style="1" customWidth="1"/>
    <col min="2" max="3" width="14.81640625" style="1" customWidth="1"/>
    <col min="4" max="16384" width="8.90625" style="1"/>
  </cols>
  <sheetData>
    <row r="1" spans="1:3" ht="13.25" x14ac:dyDescent="0.25">
      <c r="A1" s="2"/>
      <c r="B1" s="2"/>
      <c r="C1" s="2"/>
    </row>
    <row r="2" spans="1:3" ht="13.25" x14ac:dyDescent="0.25">
      <c r="A2" s="3" t="s">
        <v>32</v>
      </c>
    </row>
    <row r="3" spans="1:3" ht="13.25" x14ac:dyDescent="0.25">
      <c r="A3" s="3" t="s">
        <v>4</v>
      </c>
    </row>
    <row r="4" spans="1:3" ht="13.25" x14ac:dyDescent="0.25">
      <c r="A4" s="5" t="s">
        <v>33</v>
      </c>
    </row>
    <row r="5" spans="1:3" ht="13.25" x14ac:dyDescent="0.25">
      <c r="A5" s="5" t="s">
        <v>34</v>
      </c>
      <c r="B5" s="6">
        <v>92939.02</v>
      </c>
      <c r="C5" s="5" t="s">
        <v>4</v>
      </c>
    </row>
    <row r="6" spans="1:3" ht="13.25" x14ac:dyDescent="0.25">
      <c r="A6" s="5" t="s">
        <v>35</v>
      </c>
      <c r="B6" s="10">
        <v>519.91999999999996</v>
      </c>
      <c r="C6" s="5" t="s">
        <v>4</v>
      </c>
    </row>
    <row r="7" spans="1:3" ht="13.25" x14ac:dyDescent="0.25">
      <c r="A7" s="5" t="s">
        <v>36</v>
      </c>
      <c r="B7" s="10">
        <v>3545.68</v>
      </c>
      <c r="C7" s="5" t="s">
        <v>4</v>
      </c>
    </row>
    <row r="8" spans="1:3" ht="13.25" x14ac:dyDescent="0.25">
      <c r="A8" s="5" t="s">
        <v>37</v>
      </c>
      <c r="B8" s="10">
        <v>39201.1</v>
      </c>
      <c r="C8" s="5" t="s">
        <v>4</v>
      </c>
    </row>
    <row r="9" spans="1:3" ht="13.25" x14ac:dyDescent="0.25">
      <c r="A9" s="5" t="s">
        <v>38</v>
      </c>
      <c r="B9" s="10">
        <v>1290992</v>
      </c>
      <c r="C9" s="5" t="s">
        <v>67</v>
      </c>
    </row>
    <row r="10" spans="1:3" ht="13.25" x14ac:dyDescent="0.25">
      <c r="A10" s="5" t="s">
        <v>39</v>
      </c>
      <c r="B10" s="10">
        <v>3993</v>
      </c>
      <c r="C10" s="5" t="s">
        <v>4</v>
      </c>
    </row>
    <row r="11" spans="1:3" customFormat="1" ht="14.4" x14ac:dyDescent="0.3">
      <c r="A11" s="7"/>
      <c r="B11" s="14"/>
      <c r="C11" s="8"/>
    </row>
    <row r="12" spans="1:3" ht="13.25" x14ac:dyDescent="0.25">
      <c r="A12" s="5" t="s">
        <v>40</v>
      </c>
      <c r="B12" s="5" t="s">
        <v>4</v>
      </c>
      <c r="C12" s="10">
        <f>ROUND(SUBTOTAL(9, B2:B11), 5)</f>
        <v>1431190.72</v>
      </c>
    </row>
    <row r="13" spans="1:3" ht="13.25" x14ac:dyDescent="0.25">
      <c r="A13" s="3" t="s">
        <v>4</v>
      </c>
    </row>
    <row r="14" spans="1:3" ht="13.25" x14ac:dyDescent="0.25">
      <c r="A14" s="5" t="s">
        <v>41</v>
      </c>
    </row>
    <row r="15" spans="1:3" ht="13.25" x14ac:dyDescent="0.25">
      <c r="A15" s="5" t="s">
        <v>42</v>
      </c>
      <c r="B15" s="10">
        <v>16500</v>
      </c>
      <c r="C15" s="5" t="s">
        <v>4</v>
      </c>
    </row>
    <row r="16" spans="1:3" ht="13.25" x14ac:dyDescent="0.25">
      <c r="A16" s="5" t="s">
        <v>43</v>
      </c>
      <c r="B16" s="10">
        <v>-1502.88</v>
      </c>
      <c r="C16" s="5" t="s">
        <v>4</v>
      </c>
    </row>
    <row r="17" spans="1:3" customFormat="1" ht="14.4" x14ac:dyDescent="0.3">
      <c r="A17" s="7"/>
      <c r="B17" s="14"/>
      <c r="C17" s="8"/>
    </row>
    <row r="18" spans="1:3" ht="13.25" x14ac:dyDescent="0.25">
      <c r="A18" s="5" t="s">
        <v>44</v>
      </c>
      <c r="B18" s="5" t="s">
        <v>4</v>
      </c>
      <c r="C18" s="10">
        <f>ROUND(SUBTOTAL(9, B13:B17), 5)</f>
        <v>14997.12</v>
      </c>
    </row>
    <row r="19" spans="1:3" ht="13.25" x14ac:dyDescent="0.25">
      <c r="A19" s="3" t="s">
        <v>4</v>
      </c>
    </row>
    <row r="20" spans="1:3" ht="13.25" x14ac:dyDescent="0.25">
      <c r="A20" s="5" t="s">
        <v>45</v>
      </c>
    </row>
    <row r="21" spans="1:3" customFormat="1" ht="14.4" x14ac:dyDescent="0.3">
      <c r="A21" s="7"/>
      <c r="B21" s="14"/>
      <c r="C21" s="8"/>
    </row>
    <row r="22" spans="1:3" ht="13.25" x14ac:dyDescent="0.25">
      <c r="A22" s="5" t="s">
        <v>46</v>
      </c>
      <c r="B22" s="5" t="s">
        <v>4</v>
      </c>
      <c r="C22" s="10">
        <f>ROUND(SUBTOTAL(9, C19:C21), 5)</f>
        <v>0</v>
      </c>
    </row>
    <row r="23" spans="1:3" customFormat="1" ht="14.4" x14ac:dyDescent="0.3">
      <c r="A23" s="7"/>
      <c r="B23" s="7"/>
      <c r="C23" s="9"/>
    </row>
    <row r="24" spans="1:3" ht="13.75" thickBot="1" x14ac:dyDescent="0.3">
      <c r="A24" s="5" t="s">
        <v>47</v>
      </c>
      <c r="B24" s="5" t="s">
        <v>4</v>
      </c>
      <c r="C24" s="6">
        <f>ROUND(C12+C18+C22, 5)</f>
        <v>1446187.84</v>
      </c>
    </row>
    <row r="25" spans="1:3" customFormat="1" ht="15" thickTop="1" x14ac:dyDescent="0.3">
      <c r="A25" s="7"/>
      <c r="B25" s="7"/>
      <c r="C25" s="11"/>
    </row>
    <row r="26" spans="1:3" ht="13.25" x14ac:dyDescent="0.25">
      <c r="A26" s="3" t="s">
        <v>4</v>
      </c>
    </row>
    <row r="27" spans="1:3" ht="13.25" x14ac:dyDescent="0.25">
      <c r="A27" s="3" t="s">
        <v>4</v>
      </c>
    </row>
    <row r="28" spans="1:3" ht="13.25" x14ac:dyDescent="0.25">
      <c r="A28" s="3" t="s">
        <v>48</v>
      </c>
    </row>
    <row r="29" spans="1:3" ht="13.25" x14ac:dyDescent="0.25">
      <c r="A29" s="3" t="s">
        <v>4</v>
      </c>
    </row>
    <row r="30" spans="1:3" ht="13.25" x14ac:dyDescent="0.25">
      <c r="A30" s="5" t="s">
        <v>49</v>
      </c>
    </row>
    <row r="31" spans="1:3" ht="13.25" x14ac:dyDescent="0.25">
      <c r="A31" s="5" t="s">
        <v>50</v>
      </c>
      <c r="B31" s="6">
        <v>-1928.43</v>
      </c>
      <c r="C31" s="5" t="s">
        <v>4</v>
      </c>
    </row>
    <row r="32" spans="1:3" ht="13.25" x14ac:dyDescent="0.25">
      <c r="A32" s="5" t="s">
        <v>51</v>
      </c>
      <c r="B32" s="10">
        <v>19610.84</v>
      </c>
      <c r="C32" s="5" t="s">
        <v>4</v>
      </c>
    </row>
    <row r="33" spans="1:3" ht="13.25" x14ac:dyDescent="0.25">
      <c r="A33" s="5" t="s">
        <v>52</v>
      </c>
      <c r="B33" s="10">
        <v>-1017.39</v>
      </c>
      <c r="C33" s="5" t="s">
        <v>4</v>
      </c>
    </row>
    <row r="34" spans="1:3" ht="13.25" x14ac:dyDescent="0.25">
      <c r="A34" s="5" t="s">
        <v>53</v>
      </c>
      <c r="B34" s="10">
        <v>48565</v>
      </c>
      <c r="C34" s="16" t="s">
        <v>68</v>
      </c>
    </row>
    <row r="35" spans="1:3" ht="13.25" x14ac:dyDescent="0.25">
      <c r="A35" s="5" t="s">
        <v>54</v>
      </c>
      <c r="B35" s="10">
        <v>8382.41</v>
      </c>
      <c r="C35" s="5" t="s">
        <v>4</v>
      </c>
    </row>
    <row r="36" spans="1:3" customFormat="1" ht="14.4" x14ac:dyDescent="0.3">
      <c r="A36" s="7"/>
      <c r="B36" s="14"/>
      <c r="C36" s="8"/>
    </row>
    <row r="37" spans="1:3" ht="13.25" x14ac:dyDescent="0.25">
      <c r="A37" s="5" t="s">
        <v>55</v>
      </c>
      <c r="B37" s="5" t="s">
        <v>4</v>
      </c>
      <c r="C37" s="10">
        <f>ROUND(SUBTOTAL(9, B26:B36), 5)</f>
        <v>73612.429999999993</v>
      </c>
    </row>
    <row r="38" spans="1:3" ht="13.25" x14ac:dyDescent="0.25">
      <c r="A38" s="3" t="s">
        <v>4</v>
      </c>
    </row>
    <row r="39" spans="1:3" ht="13.25" x14ac:dyDescent="0.25">
      <c r="A39" s="5" t="s">
        <v>56</v>
      </c>
    </row>
    <row r="40" spans="1:3" customFormat="1" ht="14.4" x14ac:dyDescent="0.3">
      <c r="A40" s="7"/>
      <c r="B40" s="14"/>
      <c r="C40" s="8"/>
    </row>
    <row r="41" spans="1:3" ht="13.25" x14ac:dyDescent="0.25">
      <c r="A41" s="5" t="s">
        <v>57</v>
      </c>
      <c r="B41" s="5" t="s">
        <v>4</v>
      </c>
      <c r="C41" s="10">
        <f>ROUND(SUBTOTAL(9, C38:C40), 5)</f>
        <v>0</v>
      </c>
    </row>
    <row r="42" spans="1:3" customFormat="1" ht="14.4" x14ac:dyDescent="0.3">
      <c r="A42" s="7"/>
      <c r="B42" s="7"/>
      <c r="C42" s="9"/>
    </row>
    <row r="43" spans="1:3" ht="13.25" x14ac:dyDescent="0.25">
      <c r="A43" s="5" t="s">
        <v>58</v>
      </c>
      <c r="B43" s="5" t="s">
        <v>4</v>
      </c>
      <c r="C43" s="10">
        <f>-(ROUND(-C37+-C41, 5))</f>
        <v>73612.429999999993</v>
      </c>
    </row>
    <row r="44" spans="1:3" ht="13.25" x14ac:dyDescent="0.25">
      <c r="A44" s="3" t="s">
        <v>4</v>
      </c>
    </row>
    <row r="45" spans="1:3" ht="13.25" x14ac:dyDescent="0.25">
      <c r="A45" s="5" t="s">
        <v>59</v>
      </c>
    </row>
    <row r="46" spans="1:3" ht="13.25" x14ac:dyDescent="0.25">
      <c r="A46" s="5" t="s">
        <v>59</v>
      </c>
      <c r="B46" s="10">
        <v>1700000</v>
      </c>
      <c r="C46" s="5" t="s">
        <v>4</v>
      </c>
    </row>
    <row r="47" spans="1:3" ht="13.25" x14ac:dyDescent="0.25">
      <c r="A47" s="5" t="s">
        <v>60</v>
      </c>
      <c r="B47" s="10">
        <v>27385.05</v>
      </c>
      <c r="C47" s="5" t="s">
        <v>4</v>
      </c>
    </row>
    <row r="48" spans="1:3" ht="13.25" x14ac:dyDescent="0.25">
      <c r="A48" s="5" t="s">
        <v>31</v>
      </c>
      <c r="B48" s="10">
        <v>-354809.64</v>
      </c>
      <c r="C48" s="5" t="s">
        <v>4</v>
      </c>
    </row>
    <row r="49" spans="1:3" customFormat="1" ht="14.4" x14ac:dyDescent="0.3">
      <c r="A49" s="7"/>
      <c r="B49" s="14"/>
      <c r="C49" s="8"/>
    </row>
    <row r="50" spans="1:3" ht="13.25" x14ac:dyDescent="0.25">
      <c r="A50" s="5" t="s">
        <v>61</v>
      </c>
      <c r="B50" s="5" t="s">
        <v>4</v>
      </c>
      <c r="C50" s="10">
        <f>ROUND(SUBTOTAL(9, B44:B49), 5)</f>
        <v>1372575.41</v>
      </c>
    </row>
    <row r="51" spans="1:3" customFormat="1" ht="14.4" x14ac:dyDescent="0.3">
      <c r="A51" s="7"/>
      <c r="B51" s="7"/>
      <c r="C51" s="9"/>
    </row>
    <row r="52" spans="1:3" ht="13.75" thickBot="1" x14ac:dyDescent="0.3">
      <c r="A52" s="5" t="s">
        <v>62</v>
      </c>
      <c r="B52" s="5" t="s">
        <v>4</v>
      </c>
      <c r="C52" s="6">
        <f>-(ROUND(-C43+-C50, 5))</f>
        <v>1446187.84</v>
      </c>
    </row>
    <row r="53" spans="1:3" customFormat="1" ht="15.65" thickTop="1" thickBot="1" x14ac:dyDescent="0.35">
      <c r="A53" s="12"/>
      <c r="B53" s="12"/>
      <c r="C53" s="13"/>
    </row>
  </sheetData>
  <pageMargins left="0.7" right="0.7" top="1.2222222222222223" bottom="0.65277777777777779" header="0.3" footer="0.3"/>
  <pageSetup orientation="landscape" horizontalDpi="0" verticalDpi="0" r:id="rId1"/>
  <headerFooter>
    <oddHeader xml:space="preserve">&amp;C&amp;"Times New Roman"&amp;10KETEME INFORMATION TECHNOLOGY PLC-2016
Balance Sheet
July 7, 2024
&amp;L&amp;"Times New Roman"&amp;10
</oddHeader>
    <oddFooter>&amp;L&amp;08&amp;"MS San Serif"&amp;D at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workbookViewId="0">
      <pane ySplit="1" topLeftCell="A23" activePane="bottomLeft" state="frozenSplit"/>
      <selection pane="bottomLeft" activeCell="C34" sqref="C34"/>
    </sheetView>
  </sheetViews>
  <sheetFormatPr defaultColWidth="8.90625" defaultRowHeight="13" x14ac:dyDescent="0.3"/>
  <cols>
    <col min="1" max="1" width="33.81640625" style="1" customWidth="1"/>
    <col min="2" max="2" width="15.81640625" style="1" customWidth="1"/>
    <col min="3" max="16384" width="8.90625" style="1"/>
  </cols>
  <sheetData>
    <row r="1" spans="1:3" ht="26.4" x14ac:dyDescent="0.25">
      <c r="A1" s="3"/>
      <c r="B1" s="4" t="s">
        <v>0</v>
      </c>
    </row>
    <row r="2" spans="1:3" ht="13.25" x14ac:dyDescent="0.25">
      <c r="A2" s="5" t="s">
        <v>1</v>
      </c>
    </row>
    <row r="3" spans="1:3" ht="13.25" x14ac:dyDescent="0.25">
      <c r="A3" s="5" t="s">
        <v>2</v>
      </c>
      <c r="B3" s="6">
        <v>388502.77</v>
      </c>
    </row>
    <row r="4" spans="1:3" customFormat="1" ht="14.4" x14ac:dyDescent="0.3">
      <c r="A4" s="7"/>
      <c r="B4" s="9"/>
    </row>
    <row r="5" spans="1:3" ht="13.25" x14ac:dyDescent="0.25">
      <c r="A5" s="5" t="s">
        <v>3</v>
      </c>
      <c r="B5" s="10">
        <f>ROUND(SUBTOTAL(9, B2:B4), 5)</f>
        <v>388502.77</v>
      </c>
    </row>
    <row r="6" spans="1:3" customFormat="1" ht="14.4" x14ac:dyDescent="0.3">
      <c r="A6" s="7"/>
      <c r="B6" s="9"/>
    </row>
    <row r="7" spans="1:3" ht="13.25" x14ac:dyDescent="0.25">
      <c r="A7" s="3" t="s">
        <v>4</v>
      </c>
    </row>
    <row r="8" spans="1:3" ht="13.25" x14ac:dyDescent="0.25">
      <c r="A8" s="5" t="s">
        <v>5</v>
      </c>
    </row>
    <row r="9" spans="1:3" ht="13.25" x14ac:dyDescent="0.25">
      <c r="A9" s="5" t="s">
        <v>6</v>
      </c>
      <c r="B9" s="10">
        <v>367290.33</v>
      </c>
      <c r="C9" s="1" t="s">
        <v>63</v>
      </c>
    </row>
    <row r="10" spans="1:3" ht="13.25" x14ac:dyDescent="0.25">
      <c r="A10" s="5" t="s">
        <v>7</v>
      </c>
      <c r="B10" s="10">
        <v>2400</v>
      </c>
      <c r="C10" s="1" t="s">
        <v>66</v>
      </c>
    </row>
    <row r="11" spans="1:3" ht="13.25" x14ac:dyDescent="0.25">
      <c r="A11" s="5" t="s">
        <v>8</v>
      </c>
      <c r="B11" s="10">
        <v>34262</v>
      </c>
      <c r="C11" s="1" t="s">
        <v>63</v>
      </c>
    </row>
    <row r="12" spans="1:3" ht="13.25" x14ac:dyDescent="0.25">
      <c r="A12" s="5" t="s">
        <v>9</v>
      </c>
      <c r="B12" s="10">
        <v>12000</v>
      </c>
      <c r="C12" s="1" t="s">
        <v>65</v>
      </c>
    </row>
    <row r="13" spans="1:3" ht="13.25" x14ac:dyDescent="0.25">
      <c r="A13" s="5" t="s">
        <v>10</v>
      </c>
      <c r="B13" s="10">
        <v>7267.59</v>
      </c>
      <c r="C13" s="1" t="s">
        <v>64</v>
      </c>
    </row>
    <row r="14" spans="1:3" customFormat="1" ht="14.4" x14ac:dyDescent="0.3">
      <c r="A14" s="7"/>
      <c r="B14" s="9"/>
    </row>
    <row r="15" spans="1:3" ht="13.25" x14ac:dyDescent="0.25">
      <c r="A15" s="5" t="s">
        <v>11</v>
      </c>
      <c r="B15" s="10">
        <f>ROUND(SUBTOTAL(9, B7:B14), 5)</f>
        <v>423219.92</v>
      </c>
    </row>
    <row r="16" spans="1:3" customFormat="1" ht="14.4" x14ac:dyDescent="0.3">
      <c r="A16" s="7"/>
      <c r="B16" s="9"/>
    </row>
    <row r="17" spans="1:2" ht="13.25" x14ac:dyDescent="0.25">
      <c r="A17" s="5" t="s">
        <v>12</v>
      </c>
      <c r="B17" s="10">
        <f>-(ROUND(-B5+B15, 5))</f>
        <v>-34717.15</v>
      </c>
    </row>
    <row r="18" spans="1:2" customFormat="1" ht="14.4" x14ac:dyDescent="0.3">
      <c r="A18" s="7"/>
      <c r="B18" s="9"/>
    </row>
    <row r="19" spans="1:2" ht="13.25" x14ac:dyDescent="0.25">
      <c r="A19" s="5" t="s">
        <v>13</v>
      </c>
    </row>
    <row r="20" spans="1:2" ht="13.25" x14ac:dyDescent="0.25">
      <c r="A20" s="5" t="s">
        <v>14</v>
      </c>
      <c r="B20" s="10">
        <v>3999.99</v>
      </c>
    </row>
    <row r="21" spans="1:2" ht="13.25" x14ac:dyDescent="0.25">
      <c r="A21" s="5" t="s">
        <v>15</v>
      </c>
      <c r="B21" s="10">
        <v>5951.47</v>
      </c>
    </row>
    <row r="22" spans="1:2" ht="13.25" x14ac:dyDescent="0.25">
      <c r="A22" s="5" t="s">
        <v>16</v>
      </c>
      <c r="B22" s="10">
        <v>42450</v>
      </c>
    </row>
    <row r="23" spans="1:2" ht="13.25" x14ac:dyDescent="0.25">
      <c r="A23" s="5" t="s">
        <v>17</v>
      </c>
      <c r="B23" s="10">
        <v>29559.98</v>
      </c>
    </row>
    <row r="24" spans="1:2" ht="13.25" x14ac:dyDescent="0.25">
      <c r="A24" s="5" t="s">
        <v>18</v>
      </c>
      <c r="B24" s="10">
        <v>77187.95</v>
      </c>
    </row>
    <row r="25" spans="1:2" ht="13.25" x14ac:dyDescent="0.25">
      <c r="A25" s="5" t="s">
        <v>19</v>
      </c>
      <c r="B25" s="10">
        <v>350</v>
      </c>
    </row>
    <row r="26" spans="1:2" ht="13.25" x14ac:dyDescent="0.25">
      <c r="A26" s="5" t="s">
        <v>20</v>
      </c>
      <c r="B26" s="10">
        <v>74999.06</v>
      </c>
    </row>
    <row r="27" spans="1:2" ht="13.25" x14ac:dyDescent="0.25">
      <c r="A27" s="5" t="s">
        <v>21</v>
      </c>
      <c r="B27" s="10">
        <v>18680</v>
      </c>
    </row>
    <row r="28" spans="1:2" ht="13.25" x14ac:dyDescent="0.25">
      <c r="A28" s="5" t="s">
        <v>22</v>
      </c>
      <c r="B28" s="10">
        <v>102</v>
      </c>
    </row>
    <row r="29" spans="1:2" ht="13.25" x14ac:dyDescent="0.25">
      <c r="A29" s="5" t="s">
        <v>23</v>
      </c>
      <c r="B29" s="10">
        <v>430</v>
      </c>
    </row>
    <row r="30" spans="1:2" ht="13.25" x14ac:dyDescent="0.25">
      <c r="A30" s="5" t="s">
        <v>24</v>
      </c>
      <c r="B30" s="10">
        <v>2650</v>
      </c>
    </row>
    <row r="31" spans="1:2" ht="13.25" x14ac:dyDescent="0.25">
      <c r="A31" s="5" t="s">
        <v>25</v>
      </c>
      <c r="B31" s="10">
        <v>12422.33</v>
      </c>
    </row>
    <row r="32" spans="1:2" ht="13.25" x14ac:dyDescent="0.25">
      <c r="A32" s="5" t="s">
        <v>26</v>
      </c>
      <c r="B32" s="10">
        <v>600</v>
      </c>
    </row>
    <row r="33" spans="1:2" ht="13.25" x14ac:dyDescent="0.25">
      <c r="A33" s="5" t="s">
        <v>27</v>
      </c>
      <c r="B33" s="15">
        <v>11880.99</v>
      </c>
    </row>
    <row r="34" spans="1:2" ht="13.25" x14ac:dyDescent="0.25">
      <c r="A34" s="5" t="s">
        <v>28</v>
      </c>
      <c r="B34" s="10">
        <v>37325.839999999997</v>
      </c>
    </row>
    <row r="35" spans="1:2" ht="13.25" x14ac:dyDescent="0.25">
      <c r="A35" s="5" t="s">
        <v>29</v>
      </c>
      <c r="B35" s="10">
        <v>1502.88</v>
      </c>
    </row>
    <row r="36" spans="1:2" customFormat="1" ht="14.4" x14ac:dyDescent="0.3">
      <c r="A36" s="7"/>
      <c r="B36" s="9"/>
    </row>
    <row r="37" spans="1:2" ht="13.25" x14ac:dyDescent="0.25">
      <c r="A37" s="5" t="s">
        <v>30</v>
      </c>
      <c r="B37" s="10">
        <f>ROUND(SUBTOTAL(9, B19:B36), 5)</f>
        <v>320092.49</v>
      </c>
    </row>
    <row r="38" spans="1:2" customFormat="1" ht="14.4" x14ac:dyDescent="0.3">
      <c r="A38" s="7"/>
      <c r="B38" s="9"/>
    </row>
    <row r="39" spans="1:2" ht="13.75" thickBot="1" x14ac:dyDescent="0.3">
      <c r="A39" s="5" t="s">
        <v>31</v>
      </c>
      <c r="B39" s="6">
        <f>-(ROUND(-B17+B37, 5))</f>
        <v>-354809.64</v>
      </c>
    </row>
    <row r="40" spans="1:2" customFormat="1" ht="15.65" thickTop="1" thickBot="1" x14ac:dyDescent="0.35">
      <c r="A40" s="12"/>
      <c r="B40" s="13"/>
    </row>
  </sheetData>
  <pageMargins left="0.7" right="0.7" top="1.375" bottom="0.65277777777777779" header="0.3" footer="0.3"/>
  <pageSetup orientation="landscape" horizontalDpi="0" verticalDpi="0" r:id="rId1"/>
  <headerFooter>
    <oddHeader xml:space="preserve">&amp;C&amp;"Times New Roman"&amp;8
&amp;10KETEME INFORMATION TECHNOLOGY PLC-2016
Income Statement
For the Twelve Months Ending July 7, 2024
&amp;L&amp;"Times New Roman"&amp;8
&amp;10
</oddHeader>
    <oddFooter>&amp;L&amp;10&amp;"Times New Roman"&amp;D at &amp;T&amp;R&amp;10&amp;"Times New Roman"Page: &amp;P&amp;C&amp;10&amp;"Times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Balance Sheet- TD</vt:lpstr>
      <vt:lpstr>Profit OR Loss</vt:lpstr>
      <vt:lpstr>'Balance Sheet- TD'!Print_Titles</vt:lpstr>
      <vt:lpstr>'Profit OR Loss'!Print_Titles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Isaac</cp:lastModifiedBy>
  <dcterms:created xsi:type="dcterms:W3CDTF">2025-01-30T00:06:25Z</dcterms:created>
  <dcterms:modified xsi:type="dcterms:W3CDTF">2025-11-20T11:57:43Z</dcterms:modified>
</cp:coreProperties>
</file>